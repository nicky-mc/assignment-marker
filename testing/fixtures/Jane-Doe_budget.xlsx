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Item</v>
      </c>
      <c r="B1" t="str">
        <v>Budget</v>
      </c>
      <c r="C1" t="str">
        <v>Actual</v>
      </c>
      <c r="D1" t="str">
        <v>Variance</v>
      </c>
      <c r="E1" t="str">
        <v>Due</v>
      </c>
    </row>
    <row r="2">
      <c r="A2" t="str">
        <v>Venue hire</v>
      </c>
      <c r="B2">
        <v>1200</v>
      </c>
      <c r="C2">
        <v>1150</v>
      </c>
      <c r="D2">
        <f>B2-C2</f>
        <v>50</v>
      </c>
      <c r="E2" s="1" t="d">
        <v>2025-01-05T00:00:00.000Z</v>
      </c>
    </row>
    <row r="3">
      <c r="A3" t="str">
        <v>Catering</v>
      </c>
      <c r="B3">
        <v>800</v>
      </c>
      <c r="C3">
        <v>910</v>
      </c>
      <c r="D3">
        <f>B3-C3</f>
        <v>-110</v>
      </c>
    </row>
    <row r="5">
      <c r="A5" t="str">
        <v>Printing</v>
      </c>
      <c r="B5">
        <v>150</v>
      </c>
      <c r="C5">
        <v>150</v>
      </c>
      <c r="D5">
        <f>B5-C5</f>
        <v>0</v>
      </c>
    </row>
    <row r="6">
      <c r="A6" t="str">
        <v>Total</v>
      </c>
      <c r="B6">
        <f>SUM(B2:B5)</f>
        <v>2150</v>
      </c>
      <c r="C6">
        <f>SUM(C2:C5)</f>
        <v>2210</v>
      </c>
      <c r="D6">
        <f>SUM(D2:D5)</f>
        <v>-60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Event summary 2025</v>
      </c>
    </row>
    <row r="3">
      <c r="A3" t="str">
        <v>Overspend?</v>
      </c>
      <c r="B3" t="b">
        <f>D6&lt;0</f>
        <v>1</v>
      </c>
    </row>
    <row r="4">
      <c r="A4" t="str">
        <v>Overspend as share of budget</v>
      </c>
      <c r="B4" s="2">
        <f>D6/B6</f>
        <v>-0.0279</v>
      </c>
    </row>
  </sheetData>
  <mergeCells count="1">
    <mergeCell ref="A1:C1"/>
  </mergeCells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